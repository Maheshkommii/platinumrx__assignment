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tinumRx\excel\"/>
    </mc:Choice>
  </mc:AlternateContent>
  <xr:revisionPtr revIDLastSave="0" documentId="13_ncr:1_{1A5FD035-1249-4460-A2DF-C0959CDC49EF}" xr6:coauthVersionLast="47" xr6:coauthVersionMax="47" xr10:uidLastSave="{00000000-0000-0000-0000-000000000000}"/>
  <bookViews>
    <workbookView xWindow="-108" yWindow="-108" windowWidth="23256" windowHeight="12456" xr2:uid="{B6A7DB2B-F632-451D-96AE-097D396C8FC4}"/>
  </bookViews>
  <sheets>
    <sheet name="ticket" sheetId="1" r:id="rId1"/>
    <sheet name="feedba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4" i="2"/>
  <c r="D3" i="2"/>
  <c r="D5" i="2"/>
  <c r="D7" i="2"/>
  <c r="G6" i="1"/>
  <c r="G3" i="1"/>
  <c r="G4" i="1"/>
  <c r="G5" i="1"/>
  <c r="G7" i="1"/>
  <c r="G2" i="1"/>
  <c r="F6" i="1"/>
  <c r="F3" i="1"/>
  <c r="F4" i="1"/>
  <c r="F5" i="1"/>
  <c r="F7" i="1"/>
  <c r="F2" i="1"/>
  <c r="D2" i="2"/>
</calcChain>
</file>

<file path=xl/sharedStrings.xml><?xml version="1.0" encoding="utf-8"?>
<sst xmlns="http://schemas.openxmlformats.org/spreadsheetml/2006/main" count="39" uniqueCount="30">
  <si>
    <t xml:space="preserve">Ticket_id </t>
  </si>
  <si>
    <t xml:space="preserve">T1       </t>
  </si>
  <si>
    <t>T2</t>
  </si>
  <si>
    <t>T3</t>
  </si>
  <si>
    <t>T4</t>
  </si>
  <si>
    <t>T5</t>
  </si>
  <si>
    <t>T6</t>
  </si>
  <si>
    <t>Created_at</t>
  </si>
  <si>
    <t xml:space="preserve"> 03-04-2026 16:00 </t>
  </si>
  <si>
    <t>Closed_at</t>
  </si>
  <si>
    <t xml:space="preserve">Outlet_id </t>
  </si>
  <si>
    <t>O2</t>
  </si>
  <si>
    <t>O3</t>
  </si>
  <si>
    <t>O1</t>
  </si>
  <si>
    <t xml:space="preserve">Cms_id </t>
  </si>
  <si>
    <t>C1</t>
  </si>
  <si>
    <t>C2</t>
  </si>
  <si>
    <t>C3</t>
  </si>
  <si>
    <t>C4</t>
  </si>
  <si>
    <t>C5</t>
  </si>
  <si>
    <t>C6</t>
  </si>
  <si>
    <t>Cms_id</t>
  </si>
  <si>
    <t>Feedback_at</t>
  </si>
  <si>
    <t xml:space="preserve"> 03-04-2026 17:00</t>
  </si>
  <si>
    <t xml:space="preserve"> 03-04-2026 11:00</t>
  </si>
  <si>
    <t>Feedback_rating</t>
  </si>
  <si>
    <t>Ticket_created</t>
  </si>
  <si>
    <t>Same_day</t>
  </si>
  <si>
    <t>Same_hour</t>
  </si>
  <si>
    <t xml:space="preserve"> 03-04-2026 16:30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</si>
</sst>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D0F-E8A1-431F-A70C-E23894DCB7B2}">
  <dimension ref="A1:G7"/>
  <sheetViews>
    <sheetView tabSelected="1" workbookViewId="0">
      <selection activeCell="E10" sqref="E10"/>
    </sheetView>
  </sheetViews>
  <sheetFormatPr defaultRowHeight="14.4" x14ac:dyDescent="0.3"/>
  <cols>
    <col min="1" max="1" width="8.33203125" bestFit="1" customWidth="1"/>
    <col min="2" max="2" width="18.6640625" bestFit="1" customWidth="1"/>
    <col min="3" max="3" width="15.33203125" bestFit="1" customWidth="1"/>
  </cols>
  <sheetData>
    <row r="1" spans="1:7" x14ac:dyDescent="0.3">
      <c r="A1" s="1" t="s">
        <v>0</v>
      </c>
      <c r="B1" s="1" t="s">
        <v>7</v>
      </c>
      <c r="C1" s="1" t="s">
        <v>9</v>
      </c>
      <c r="D1" s="1" t="s">
        <v>10</v>
      </c>
      <c r="E1" s="1" t="s">
        <v>14</v>
      </c>
      <c r="F1" s="1" t="s">
        <v>27</v>
      </c>
      <c r="G1" s="1" t="s">
        <v>28</v>
      </c>
    </row>
    <row r="2" spans="1:7" x14ac:dyDescent="0.3">
      <c r="A2" s="1" t="s">
        <v>1</v>
      </c>
      <c r="B2" s="2">
        <v>46113.427083333336</v>
      </c>
      <c r="C2" s="2">
        <v>46113.520833333336</v>
      </c>
      <c r="D2" s="1" t="s">
        <v>13</v>
      </c>
      <c r="E2" s="1" t="s">
        <v>15</v>
      </c>
      <c r="F2" s="1" t="b">
        <f>INT(B2)=INT(C2)</f>
        <v>1</v>
      </c>
      <c r="G2" t="b">
        <f>AND(INT(B2)=INT(C2), HOUR(B2)=HOUR(C2))</f>
        <v>0</v>
      </c>
    </row>
    <row r="3" spans="1:7" x14ac:dyDescent="0.3">
      <c r="A3" s="1" t="s">
        <v>2</v>
      </c>
      <c r="B3" s="2">
        <v>46113.458333333336</v>
      </c>
      <c r="C3" s="2">
        <v>46114.541666666664</v>
      </c>
      <c r="D3" s="1" t="s">
        <v>13</v>
      </c>
      <c r="E3" s="1" t="s">
        <v>16</v>
      </c>
      <c r="F3" s="1" t="b">
        <f t="shared" ref="F3:F7" si="0">INT(B3)=INT(C3)</f>
        <v>0</v>
      </c>
      <c r="G3" t="b">
        <f t="shared" ref="G3:G7" si="1">AND(INT(B3)=INT(C3), HOUR(B3)=HOUR(C3))</f>
        <v>0</v>
      </c>
    </row>
    <row r="4" spans="1:7" x14ac:dyDescent="0.3">
      <c r="A4" s="1" t="s">
        <v>3</v>
      </c>
      <c r="B4" s="2">
        <v>46114.375</v>
      </c>
      <c r="C4" s="2">
        <v>46114.40625</v>
      </c>
      <c r="D4" s="1" t="s">
        <v>11</v>
      </c>
      <c r="E4" s="1" t="s">
        <v>17</v>
      </c>
      <c r="F4" s="1" t="b">
        <f t="shared" si="0"/>
        <v>1</v>
      </c>
      <c r="G4" t="b">
        <f t="shared" si="1"/>
        <v>1</v>
      </c>
    </row>
    <row r="5" spans="1:7" x14ac:dyDescent="0.3">
      <c r="A5" s="1" t="s">
        <v>4</v>
      </c>
      <c r="B5" s="2">
        <v>46114.583333333336</v>
      </c>
      <c r="C5" s="2">
        <v>46115.625</v>
      </c>
      <c r="D5" s="1" t="s">
        <v>11</v>
      </c>
      <c r="E5" s="1" t="s">
        <v>18</v>
      </c>
      <c r="F5" s="1" t="b">
        <f t="shared" si="0"/>
        <v>0</v>
      </c>
      <c r="G5" t="b">
        <f t="shared" si="1"/>
        <v>0</v>
      </c>
    </row>
    <row r="6" spans="1:7" x14ac:dyDescent="0.3">
      <c r="A6" s="1" t="s">
        <v>5</v>
      </c>
      <c r="B6" s="1" t="s">
        <v>8</v>
      </c>
      <c r="C6" s="1" t="s">
        <v>29</v>
      </c>
      <c r="D6" s="1" t="s">
        <v>12</v>
      </c>
      <c r="E6" s="1" t="s">
        <v>19</v>
      </c>
      <c r="F6" s="1" t="b">
        <f>INT(B2)=INT(C2)</f>
        <v>1</v>
      </c>
      <c r="G6" t="b">
        <f>AND(INT(B2)=INT(C2), HOUR(B2)=HOUR(C2))</f>
        <v>0</v>
      </c>
    </row>
    <row r="7" spans="1:7" x14ac:dyDescent="0.3">
      <c r="A7" s="1" t="s">
        <v>6</v>
      </c>
      <c r="B7" s="2">
        <v>46115.375</v>
      </c>
      <c r="C7" s="2">
        <v>46115.416666666664</v>
      </c>
      <c r="D7" s="1" t="s">
        <v>13</v>
      </c>
      <c r="E7" s="1" t="s">
        <v>20</v>
      </c>
      <c r="F7" s="1" t="b">
        <f t="shared" si="0"/>
        <v>1</v>
      </c>
      <c r="G7" t="b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45C5-589B-4598-99F3-B3AABC7B0B21}">
  <dimension ref="A1:D8"/>
  <sheetViews>
    <sheetView workbookViewId="0">
      <selection activeCell="E5" sqref="E5"/>
    </sheetView>
  </sheetViews>
  <sheetFormatPr defaultRowHeight="14.4" x14ac:dyDescent="0.3"/>
  <cols>
    <col min="2" max="2" width="15.6640625" bestFit="1" customWidth="1"/>
    <col min="3" max="3" width="14.33203125" bestFit="1" customWidth="1"/>
    <col min="4" max="4" width="12.77734375" bestFit="1" customWidth="1"/>
  </cols>
  <sheetData>
    <row r="1" spans="1:4" x14ac:dyDescent="0.3">
      <c r="A1" s="1" t="s">
        <v>21</v>
      </c>
      <c r="B1" s="1" t="s">
        <v>22</v>
      </c>
      <c r="C1" s="1" t="s">
        <v>25</v>
      </c>
      <c r="D1" s="1" t="s">
        <v>26</v>
      </c>
    </row>
    <row r="2" spans="1:4" x14ac:dyDescent="0.3">
      <c r="A2" s="1" t="s">
        <v>15</v>
      </c>
      <c r="B2" s="2">
        <v>46113.541666666664</v>
      </c>
      <c r="C2" s="1">
        <v>4</v>
      </c>
      <c r="D2" s="1">
        <f>INDEX(ticket!B:B, MATCH(A2, ticket!E:E, 0))</f>
        <v>46113.427083333336</v>
      </c>
    </row>
    <row r="3" spans="1:4" x14ac:dyDescent="0.3">
      <c r="A3" s="1" t="s">
        <v>16</v>
      </c>
      <c r="B3" s="2">
        <v>46114.583333333336</v>
      </c>
      <c r="C3" s="1">
        <v>3</v>
      </c>
      <c r="D3" s="1">
        <f>INDEX(ticket!B:B, MATCH(A3, ticket!E:E, 0))</f>
        <v>46113.458333333336</v>
      </c>
    </row>
    <row r="4" spans="1:4" x14ac:dyDescent="0.3">
      <c r="A4" s="1" t="s">
        <v>17</v>
      </c>
      <c r="B4" s="2">
        <v>46114.416666666664</v>
      </c>
      <c r="C4" s="1">
        <v>5</v>
      </c>
      <c r="D4" s="1">
        <f>INDEX(ticket!B:B, MATCH(A4, ticket!E:E, 0))</f>
        <v>46114.375</v>
      </c>
    </row>
    <row r="5" spans="1:4" x14ac:dyDescent="0.3">
      <c r="A5" s="1" t="s">
        <v>18</v>
      </c>
      <c r="B5" s="2">
        <v>46115.666666666664</v>
      </c>
      <c r="C5" s="1">
        <v>2</v>
      </c>
      <c r="D5" s="1">
        <f>INDEX(ticket!B:B, MATCH(A5, ticket!E:E, 0))</f>
        <v>46114.583333333336</v>
      </c>
    </row>
    <row r="6" spans="1:4" x14ac:dyDescent="0.3">
      <c r="A6" s="1" t="s">
        <v>19</v>
      </c>
      <c r="B6" s="1" t="s">
        <v>23</v>
      </c>
      <c r="C6" s="1">
        <v>4</v>
      </c>
      <c r="D6" s="1">
        <f>INDEX(ticket!B:B, MATCH(A4, ticket!E:E, 0))</f>
        <v>46114.375</v>
      </c>
    </row>
    <row r="7" spans="1:4" x14ac:dyDescent="0.3">
      <c r="A7" s="1" t="s">
        <v>20</v>
      </c>
      <c r="B7" s="1" t="s">
        <v>24</v>
      </c>
      <c r="C7" s="1">
        <v>5</v>
      </c>
      <c r="D7" s="1">
        <f>INDEX(ticket!B:B, MATCH(A7, ticket!E:E, 0))</f>
        <v>46115.375</v>
      </c>
    </row>
    <row r="8" spans="1:4" x14ac:dyDescent="0.3">
      <c r="A8" s="1"/>
      <c r="B8" s="1"/>
      <c r="C8" s="1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maheshhkommii@gmail.com</dc:creator>
  <cp:lastModifiedBy>maheshhkommii@gmail.com</cp:lastModifiedBy>
  <dcterms:created xsi:type="dcterms:W3CDTF">2026-04-09T09:42:10Z</dcterms:created>
  <dcterms:modified xsi:type="dcterms:W3CDTF">2026-04-09T10:01:23Z</dcterms:modified>
</cp:coreProperties>
</file>